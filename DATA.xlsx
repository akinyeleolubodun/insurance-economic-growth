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241398\Documents\Training\CIIN FELLOWSHIP\Project\"/>
    </mc:Choice>
  </mc:AlternateContent>
  <xr:revisionPtr revIDLastSave="0" documentId="13_ncr:1_{A72C07FC-4C60-4574-BC6B-197E5CDA4E31}" xr6:coauthVersionLast="47" xr6:coauthVersionMax="47" xr10:uidLastSave="{00000000-0000-0000-0000-000000000000}"/>
  <bookViews>
    <workbookView xWindow="-108" yWindow="-108" windowWidth="23256" windowHeight="12576" firstSheet="1" activeTab="1" xr2:uid="{266B057B-42EC-4CFB-A602-07687387288D}"/>
  </bookViews>
  <sheets>
    <sheet name="Main Data" sheetId="1" state="hidden" r:id="rId1"/>
    <sheet name="Worked data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4" i="1"/>
</calcChain>
</file>

<file path=xl/sharedStrings.xml><?xml version="1.0" encoding="utf-8"?>
<sst xmlns="http://schemas.openxmlformats.org/spreadsheetml/2006/main" count="12" uniqueCount="10">
  <si>
    <t>Years</t>
  </si>
  <si>
    <t>Gross Premium Non-Life</t>
  </si>
  <si>
    <t>Gross Premium Life</t>
  </si>
  <si>
    <t>Total Gross Premium</t>
  </si>
  <si>
    <t>GDP</t>
  </si>
  <si>
    <t xml:space="preserve">URBAN POPULATION </t>
  </si>
  <si>
    <t>Official exchange rate (LCU per US$, period average)</t>
  </si>
  <si>
    <t>Gross Premium Non-Life (USD)</t>
  </si>
  <si>
    <t>Gross Premium Life (USD)</t>
  </si>
  <si>
    <t>GDP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</si>
</sst>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Fill="1"/>
    <xf numFmtId="43" fontId="0" fillId="0" borderId="0" xfId="1" applyFont="1"/>
    <xf numFmtId="43" fontId="1" fillId="0" borderId="0" xfId="1" applyFont="1"/>
    <xf numFmtId="43" fontId="1" fillId="2" borderId="0" xfId="1" applyFont="1" applyFill="1"/>
    <xf numFmtId="43" fontId="1" fillId="3" borderId="0" xfId="1" applyFont="1" applyFill="1"/>
    <xf numFmtId="43" fontId="1" fillId="0" borderId="0" xfId="0" applyNumberFormat="1" applyFont="1"/>
    <xf numFmtId="43" fontId="1" fillId="4" borderId="0" xfId="1" applyFont="1" applyFill="1"/>
    <xf numFmtId="43" fontId="0" fillId="4" borderId="0" xfId="1" applyFont="1" applyFill="1"/>
    <xf numFmtId="0" fontId="0" fillId="0" borderId="0" xfId="0" applyFont="1"/>
    <xf numFmtId="0" fontId="1" fillId="0" borderId="1" xfId="0" applyFont="1" applyBorder="1"/>
    <xf numFmtId="43" fontId="1" fillId="0" borderId="1" xfId="1" applyFont="1" applyBorder="1"/>
    <xf numFmtId="43" fontId="1" fillId="4" borderId="1" xfId="1" applyFont="1" applyFill="1" applyBorder="1"/>
    <xf numFmtId="43" fontId="1" fillId="2" borderId="1" xfId="1" applyFont="1" applyFill="1" applyBorder="1"/>
    <xf numFmtId="43" fontId="0" fillId="4" borderId="1" xfId="1" applyFont="1" applyFill="1" applyBorder="1"/>
    <xf numFmtId="0" fontId="1" fillId="0" borderId="1" xfId="0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969DD-862C-4655-9BF4-7B7AD4A1C065}">
  <dimension ref="B3:I38"/>
  <sheetViews>
    <sheetView topLeftCell="B1" workbookViewId="0">
      <selection activeCell="D12" sqref="D12"/>
    </sheetView>
  </sheetViews>
  <sheetFormatPr defaultRowHeight="14.4" x14ac:dyDescent="0.3"/>
  <cols>
    <col min="2" max="2" width="20.5546875" style="1" customWidth="1"/>
    <col min="3" max="3" width="29.33203125" style="3" customWidth="1"/>
    <col min="4" max="4" width="26.33203125" style="3" customWidth="1"/>
    <col min="5" max="5" width="22" customWidth="1"/>
    <col min="6" max="7" width="18.5546875" style="9" customWidth="1"/>
    <col min="9" max="9" width="13.44140625" customWidth="1"/>
  </cols>
  <sheetData>
    <row r="3" spans="2:9" s="1" customFormat="1" x14ac:dyDescent="0.3">
      <c r="B3" s="1" t="s">
        <v>0</v>
      </c>
      <c r="C3" s="4" t="s">
        <v>1</v>
      </c>
      <c r="D3" s="4" t="s">
        <v>2</v>
      </c>
      <c r="E3" s="1" t="s">
        <v>3</v>
      </c>
      <c r="F3" s="8" t="s">
        <v>4</v>
      </c>
      <c r="G3" s="8" t="s">
        <v>5</v>
      </c>
      <c r="I3" s="1" t="s">
        <v>6</v>
      </c>
    </row>
    <row r="4" spans="2:9" s="1" customFormat="1" x14ac:dyDescent="0.3">
      <c r="B4" s="2">
        <v>1986</v>
      </c>
      <c r="C4" s="5">
        <v>226172399</v>
      </c>
      <c r="D4" s="5">
        <v>135166599</v>
      </c>
      <c r="E4" s="7">
        <f>C4+D4</f>
        <v>361338998</v>
      </c>
      <c r="F4" s="9">
        <v>54805852580.912857</v>
      </c>
      <c r="G4" s="9">
        <v>22664317</v>
      </c>
      <c r="I4" s="10">
        <v>1.7545230040748101</v>
      </c>
    </row>
    <row r="5" spans="2:9" s="1" customFormat="1" x14ac:dyDescent="0.3">
      <c r="B5" s="2">
        <v>1987</v>
      </c>
      <c r="C5" s="5">
        <v>365273532</v>
      </c>
      <c r="D5" s="5">
        <v>179590490</v>
      </c>
      <c r="E5" s="7">
        <f t="shared" ref="E5:E38" si="0">C5+D5</f>
        <v>544864022</v>
      </c>
      <c r="F5" s="9">
        <v>52676041931.108727</v>
      </c>
      <c r="G5" s="9">
        <v>23955943</v>
      </c>
      <c r="I5" s="10">
        <v>4.0160373443362998</v>
      </c>
    </row>
    <row r="6" spans="2:9" s="1" customFormat="1" x14ac:dyDescent="0.3">
      <c r="B6" s="2">
        <v>1988</v>
      </c>
      <c r="C6" s="5">
        <v>426760104</v>
      </c>
      <c r="D6" s="5">
        <v>164320905</v>
      </c>
      <c r="E6" s="7">
        <f t="shared" si="0"/>
        <v>591081009</v>
      </c>
      <c r="F6" s="9">
        <v>49648470440.459335</v>
      </c>
      <c r="G6" s="9">
        <v>25315578</v>
      </c>
      <c r="I6" s="10">
        <v>4.5369666666666699</v>
      </c>
    </row>
    <row r="7" spans="2:9" s="1" customFormat="1" x14ac:dyDescent="0.3">
      <c r="B7" s="2">
        <v>1989</v>
      </c>
      <c r="C7" s="5">
        <v>620303236</v>
      </c>
      <c r="D7" s="5">
        <v>276505793</v>
      </c>
      <c r="E7" s="7">
        <f t="shared" si="0"/>
        <v>896809029</v>
      </c>
      <c r="F7" s="9">
        <v>44003061108.400505</v>
      </c>
      <c r="G7" s="9">
        <v>26749243</v>
      </c>
      <c r="I7" s="10">
        <v>7.3647349999999996</v>
      </c>
    </row>
    <row r="8" spans="2:9" s="1" customFormat="1" x14ac:dyDescent="0.3">
      <c r="B8" s="2">
        <v>1990</v>
      </c>
      <c r="C8" s="5">
        <v>811967187</v>
      </c>
      <c r="D8" s="5">
        <v>281553440</v>
      </c>
      <c r="E8" s="7">
        <f t="shared" si="0"/>
        <v>1093520627</v>
      </c>
      <c r="F8" s="9">
        <v>54035795387.808609</v>
      </c>
      <c r="G8" s="9">
        <v>28259591</v>
      </c>
      <c r="I8" s="10">
        <v>8.0382850000000001</v>
      </c>
    </row>
    <row r="9" spans="2:9" x14ac:dyDescent="0.3">
      <c r="B9" s="2">
        <v>1991</v>
      </c>
      <c r="C9" s="5">
        <v>993260742</v>
      </c>
      <c r="D9" s="5">
        <v>368901168</v>
      </c>
      <c r="E9" s="7">
        <f t="shared" si="0"/>
        <v>1362161910</v>
      </c>
      <c r="F9" s="9">
        <v>49118434950.41877</v>
      </c>
      <c r="G9" s="9">
        <v>29477534</v>
      </c>
      <c r="I9">
        <v>9.9094916666666695</v>
      </c>
    </row>
    <row r="10" spans="2:9" x14ac:dyDescent="0.3">
      <c r="B10" s="2">
        <v>1992</v>
      </c>
      <c r="C10" s="5">
        <v>1657948637</v>
      </c>
      <c r="D10" s="5">
        <v>666811408</v>
      </c>
      <c r="E10" s="7">
        <f t="shared" si="0"/>
        <v>2324760045</v>
      </c>
      <c r="F10" s="9">
        <v>47794954191.500999</v>
      </c>
      <c r="G10" s="9">
        <v>30732846</v>
      </c>
      <c r="I10">
        <v>17.298425000000002</v>
      </c>
    </row>
    <row r="11" spans="2:9" x14ac:dyDescent="0.3">
      <c r="B11" s="2">
        <v>1993</v>
      </c>
      <c r="C11" s="5">
        <v>2760152613</v>
      </c>
      <c r="D11" s="5">
        <v>856885103</v>
      </c>
      <c r="E11" s="7">
        <f t="shared" si="0"/>
        <v>3617037716</v>
      </c>
      <c r="F11" s="9">
        <v>27752204787.489037</v>
      </c>
      <c r="G11" s="9">
        <v>32047445</v>
      </c>
      <c r="I11">
        <v>22.0654</v>
      </c>
    </row>
    <row r="12" spans="2:9" x14ac:dyDescent="0.3">
      <c r="B12" s="2">
        <v>1994</v>
      </c>
      <c r="C12" s="5">
        <v>3807761565</v>
      </c>
      <c r="D12" s="5">
        <v>1037120595</v>
      </c>
      <c r="E12" s="7">
        <f t="shared" si="0"/>
        <v>4844882160</v>
      </c>
      <c r="F12" s="9">
        <v>33833043777.737209</v>
      </c>
      <c r="G12" s="9">
        <v>33420099</v>
      </c>
      <c r="I12">
        <v>21.995999999999999</v>
      </c>
    </row>
    <row r="13" spans="2:9" x14ac:dyDescent="0.3">
      <c r="B13" s="2">
        <v>1995</v>
      </c>
      <c r="C13" s="5">
        <v>5513059713</v>
      </c>
      <c r="D13" s="5">
        <v>1143654566</v>
      </c>
      <c r="E13" s="7">
        <f t="shared" si="0"/>
        <v>6656714279</v>
      </c>
      <c r="F13" s="9">
        <v>44062465417.942062</v>
      </c>
      <c r="G13" s="9">
        <v>34841820</v>
      </c>
      <c r="I13">
        <v>21.895258333333299</v>
      </c>
    </row>
    <row r="14" spans="2:9" x14ac:dyDescent="0.3">
      <c r="B14" s="2">
        <v>1996</v>
      </c>
      <c r="C14" s="5">
        <v>7740762444</v>
      </c>
      <c r="D14" s="5">
        <v>1911745408</v>
      </c>
      <c r="E14" s="7">
        <f t="shared" si="0"/>
        <v>9652507852</v>
      </c>
      <c r="F14" s="9">
        <v>51075815092.5</v>
      </c>
      <c r="G14" s="9">
        <v>36310411</v>
      </c>
      <c r="I14">
        <v>21.884425</v>
      </c>
    </row>
    <row r="15" spans="2:9" x14ac:dyDescent="0.3">
      <c r="B15" s="2">
        <v>1997</v>
      </c>
      <c r="C15" s="5">
        <v>9457554539</v>
      </c>
      <c r="D15" s="5">
        <v>2301023262</v>
      </c>
      <c r="E15" s="7">
        <f t="shared" si="0"/>
        <v>11758577801</v>
      </c>
      <c r="F15" s="9">
        <v>54457835603.135658</v>
      </c>
      <c r="G15" s="9">
        <v>37832154</v>
      </c>
      <c r="I15">
        <v>21.886050000000001</v>
      </c>
    </row>
    <row r="16" spans="2:9" x14ac:dyDescent="0.3">
      <c r="B16" s="2">
        <v>1998</v>
      </c>
      <c r="C16" s="5">
        <v>8244074089</v>
      </c>
      <c r="D16" s="5">
        <v>2661111245</v>
      </c>
      <c r="E16" s="7">
        <f t="shared" si="0"/>
        <v>10905185334</v>
      </c>
      <c r="F16" s="9">
        <v>54604050168.181816</v>
      </c>
      <c r="G16" s="9">
        <v>39409892</v>
      </c>
      <c r="I16">
        <v>21.885999999999999</v>
      </c>
    </row>
    <row r="17" spans="2:9" x14ac:dyDescent="0.3">
      <c r="B17" s="2">
        <v>1999</v>
      </c>
      <c r="C17" s="5">
        <v>9761878039</v>
      </c>
      <c r="D17" s="5">
        <v>4804126398</v>
      </c>
      <c r="E17" s="7">
        <f t="shared" si="0"/>
        <v>14566004437</v>
      </c>
      <c r="F17" s="9">
        <v>59372679433.174583</v>
      </c>
      <c r="G17" s="9">
        <v>41060367</v>
      </c>
      <c r="I17">
        <v>92.338099999999997</v>
      </c>
    </row>
    <row r="18" spans="2:9" x14ac:dyDescent="0.3">
      <c r="B18" s="2">
        <v>2000</v>
      </c>
      <c r="C18" s="5">
        <v>12809190665</v>
      </c>
      <c r="D18" s="5">
        <v>4105625077</v>
      </c>
      <c r="E18" s="7">
        <f t="shared" si="0"/>
        <v>16914815742</v>
      </c>
      <c r="F18" s="9">
        <v>69448962760.878677</v>
      </c>
      <c r="G18" s="9">
        <v>42801631</v>
      </c>
      <c r="I18">
        <v>101.69733333333301</v>
      </c>
    </row>
    <row r="19" spans="2:9" x14ac:dyDescent="0.3">
      <c r="B19" s="2">
        <v>2001</v>
      </c>
      <c r="C19" s="5">
        <v>17648790796</v>
      </c>
      <c r="D19" s="5">
        <v>5624765307</v>
      </c>
      <c r="E19" s="7">
        <f t="shared" si="0"/>
        <v>23273556103</v>
      </c>
      <c r="F19" s="9">
        <v>74030562269.965515</v>
      </c>
      <c r="G19" s="9">
        <v>44997399</v>
      </c>
      <c r="I19">
        <v>111.23125</v>
      </c>
    </row>
    <row r="20" spans="2:9" x14ac:dyDescent="0.3">
      <c r="B20" s="2">
        <v>2002</v>
      </c>
      <c r="C20" s="6">
        <v>35581637000</v>
      </c>
      <c r="D20" s="6">
        <v>8272203000</v>
      </c>
      <c r="E20" s="7">
        <f t="shared" si="0"/>
        <v>43853840000</v>
      </c>
      <c r="F20" s="9">
        <v>95054094655.327728</v>
      </c>
      <c r="G20" s="9">
        <v>47308171</v>
      </c>
      <c r="I20">
        <v>120.57815833333299</v>
      </c>
    </row>
    <row r="21" spans="2:9" x14ac:dyDescent="0.3">
      <c r="B21" s="2">
        <v>2003</v>
      </c>
      <c r="C21" s="6">
        <v>45170360000</v>
      </c>
      <c r="D21" s="6">
        <v>10126386000</v>
      </c>
      <c r="E21" s="7">
        <f t="shared" si="0"/>
        <v>55296746000</v>
      </c>
      <c r="F21" s="9">
        <v>104738980156.95811</v>
      </c>
      <c r="G21" s="9">
        <v>49728233</v>
      </c>
      <c r="I21">
        <v>129.22235000000001</v>
      </c>
    </row>
    <row r="22" spans="2:9" x14ac:dyDescent="0.3">
      <c r="B22" s="2">
        <v>2004</v>
      </c>
      <c r="C22" s="6">
        <v>56480633000</v>
      </c>
      <c r="D22" s="6">
        <v>12193787000</v>
      </c>
      <c r="E22" s="7">
        <f t="shared" si="0"/>
        <v>68674420000</v>
      </c>
      <c r="F22" s="9">
        <v>135764715375.2057</v>
      </c>
      <c r="G22" s="9">
        <v>52257527</v>
      </c>
      <c r="I22">
        <v>132.888025</v>
      </c>
    </row>
    <row r="23" spans="2:9" x14ac:dyDescent="0.3">
      <c r="B23" s="2">
        <v>2005</v>
      </c>
      <c r="C23" s="6">
        <v>62511445000</v>
      </c>
      <c r="D23" s="6">
        <v>12942040000</v>
      </c>
      <c r="E23" s="7">
        <f t="shared" si="0"/>
        <v>75453485000</v>
      </c>
      <c r="F23" s="9">
        <v>175670536601.00577</v>
      </c>
      <c r="G23" s="9">
        <v>54895345</v>
      </c>
      <c r="I23">
        <v>131.274333333333</v>
      </c>
    </row>
    <row r="24" spans="2:9" x14ac:dyDescent="0.3">
      <c r="B24" s="2">
        <v>2006</v>
      </c>
      <c r="C24" s="6">
        <v>67145906000</v>
      </c>
      <c r="D24" s="6">
        <v>12742666000</v>
      </c>
      <c r="E24" s="7">
        <f t="shared" si="0"/>
        <v>79888572000</v>
      </c>
      <c r="F24" s="9">
        <v>238454952231.57196</v>
      </c>
      <c r="G24" s="9">
        <v>57649638</v>
      </c>
      <c r="I24">
        <v>128.65166666666701</v>
      </c>
    </row>
    <row r="25" spans="2:9" x14ac:dyDescent="0.3">
      <c r="B25" s="2">
        <v>2007</v>
      </c>
      <c r="C25" s="6">
        <v>83924077000</v>
      </c>
      <c r="D25" s="6">
        <v>15783115000</v>
      </c>
      <c r="E25" s="7">
        <f t="shared" si="0"/>
        <v>99707192000</v>
      </c>
      <c r="F25" s="9">
        <v>278260808841.03009</v>
      </c>
      <c r="G25" s="9">
        <v>60532139</v>
      </c>
      <c r="I25">
        <v>125.808108333333</v>
      </c>
    </row>
    <row r="26" spans="2:9" x14ac:dyDescent="0.3">
      <c r="B26" s="2">
        <v>2008</v>
      </c>
      <c r="C26" s="6">
        <v>120931883000</v>
      </c>
      <c r="D26" s="6">
        <v>29327684000</v>
      </c>
      <c r="E26" s="7">
        <f t="shared" si="0"/>
        <v>150259567000</v>
      </c>
      <c r="F26" s="9">
        <v>339476215683.59222</v>
      </c>
      <c r="G26" s="9">
        <v>63546553</v>
      </c>
      <c r="I26">
        <v>118.566666666667</v>
      </c>
    </row>
    <row r="27" spans="2:9" x14ac:dyDescent="0.3">
      <c r="B27" s="2">
        <v>2009</v>
      </c>
      <c r="C27" s="6">
        <v>144660899000</v>
      </c>
      <c r="D27" s="6">
        <v>34291951000</v>
      </c>
      <c r="E27" s="7">
        <f t="shared" si="0"/>
        <v>178952850000</v>
      </c>
      <c r="F27" s="9">
        <v>295008767295.03827</v>
      </c>
      <c r="G27" s="9">
        <v>66691001</v>
      </c>
      <c r="I27">
        <v>148.88</v>
      </c>
    </row>
    <row r="28" spans="2:9" x14ac:dyDescent="0.3">
      <c r="B28" s="2">
        <v>2010</v>
      </c>
      <c r="C28" s="6">
        <v>145969093000</v>
      </c>
      <c r="D28" s="6">
        <v>39760889000</v>
      </c>
      <c r="E28" s="7">
        <f t="shared" si="0"/>
        <v>185729982000</v>
      </c>
      <c r="F28" s="9">
        <v>366990528103.07831</v>
      </c>
      <c r="G28" s="9">
        <v>69982300</v>
      </c>
      <c r="I28">
        <v>150.29750000000001</v>
      </c>
    </row>
    <row r="29" spans="2:9" x14ac:dyDescent="0.3">
      <c r="B29" s="2">
        <v>2011</v>
      </c>
      <c r="C29" s="6">
        <v>163193857000</v>
      </c>
      <c r="D29" s="6">
        <v>54554151000</v>
      </c>
      <c r="E29" s="7">
        <f t="shared" si="0"/>
        <v>217748008000</v>
      </c>
      <c r="F29" s="9">
        <v>414466540786.7381</v>
      </c>
      <c r="G29" s="9">
        <v>73409645</v>
      </c>
      <c r="I29">
        <v>153.86250000000001</v>
      </c>
    </row>
    <row r="30" spans="2:9" x14ac:dyDescent="0.3">
      <c r="B30" s="2">
        <v>2012</v>
      </c>
      <c r="C30" s="6">
        <v>182172874000</v>
      </c>
      <c r="D30" s="6">
        <v>69965203000</v>
      </c>
      <c r="E30" s="7">
        <f t="shared" si="0"/>
        <v>252138077000</v>
      </c>
      <c r="F30" s="9">
        <v>463971000388.61194</v>
      </c>
      <c r="G30" s="9">
        <v>76952556</v>
      </c>
      <c r="I30">
        <v>157.5</v>
      </c>
    </row>
    <row r="31" spans="2:9" x14ac:dyDescent="0.3">
      <c r="B31" s="2">
        <v>2013</v>
      </c>
      <c r="C31" s="6">
        <v>187419363000</v>
      </c>
      <c r="D31" s="6">
        <v>80415942000</v>
      </c>
      <c r="E31" s="7">
        <f t="shared" si="0"/>
        <v>267835305000</v>
      </c>
      <c r="F31" s="9">
        <v>520117163617.72113</v>
      </c>
      <c r="G31" s="9">
        <v>80580193</v>
      </c>
      <c r="I31">
        <v>157.31166666666701</v>
      </c>
    </row>
    <row r="32" spans="2:9" x14ac:dyDescent="0.3">
      <c r="B32" s="2">
        <v>2014</v>
      </c>
      <c r="C32" s="6">
        <v>184967767000</v>
      </c>
      <c r="D32" s="6">
        <v>108576192000</v>
      </c>
      <c r="E32" s="7">
        <f t="shared" si="0"/>
        <v>293543959000</v>
      </c>
      <c r="F32" s="9">
        <v>574183825592.35791</v>
      </c>
      <c r="G32" s="9">
        <v>84275849</v>
      </c>
      <c r="I32">
        <v>158.552641666667</v>
      </c>
    </row>
    <row r="33" spans="2:9" x14ac:dyDescent="0.3">
      <c r="B33" s="2">
        <v>2015</v>
      </c>
      <c r="C33" s="6">
        <v>178487081000</v>
      </c>
      <c r="D33" s="6">
        <v>134067982000</v>
      </c>
      <c r="E33" s="7">
        <f t="shared" si="0"/>
        <v>312555063000</v>
      </c>
      <c r="F33" s="9">
        <v>493026782401.56067</v>
      </c>
      <c r="G33" s="9">
        <v>88019904</v>
      </c>
      <c r="I33">
        <v>192.440333333333</v>
      </c>
    </row>
    <row r="34" spans="2:9" x14ac:dyDescent="0.3">
      <c r="B34" s="2">
        <v>2016</v>
      </c>
      <c r="C34" s="6">
        <v>189279623000</v>
      </c>
      <c r="D34" s="6">
        <v>126696315000</v>
      </c>
      <c r="E34" s="7">
        <f t="shared" si="0"/>
        <v>315975938000</v>
      </c>
      <c r="F34" s="9">
        <v>404649048648.026</v>
      </c>
      <c r="G34" s="9">
        <v>91848722</v>
      </c>
      <c r="I34">
        <v>253.49199999999999</v>
      </c>
    </row>
    <row r="35" spans="2:9" x14ac:dyDescent="0.3">
      <c r="B35" s="2">
        <v>2017</v>
      </c>
      <c r="C35" s="6">
        <v>203346389000</v>
      </c>
      <c r="D35" s="6">
        <v>161711005000</v>
      </c>
      <c r="E35" s="7">
        <f t="shared" si="0"/>
        <v>365057394000</v>
      </c>
      <c r="F35" s="9">
        <v>375745732274.67621</v>
      </c>
      <c r="G35" s="9">
        <v>95817238</v>
      </c>
      <c r="I35">
        <v>305.79010916000499</v>
      </c>
    </row>
    <row r="36" spans="2:9" x14ac:dyDescent="0.3">
      <c r="B36" s="2">
        <v>2018</v>
      </c>
      <c r="C36" s="6">
        <v>235015681000</v>
      </c>
      <c r="D36" s="6">
        <v>178272906000</v>
      </c>
      <c r="E36" s="7">
        <f t="shared" si="0"/>
        <v>413288587000</v>
      </c>
      <c r="F36" s="9">
        <v>421739210176.15198</v>
      </c>
      <c r="G36" s="9">
        <v>99876265</v>
      </c>
      <c r="I36">
        <v>306.08368824523399</v>
      </c>
    </row>
    <row r="37" spans="2:9" x14ac:dyDescent="0.3">
      <c r="B37" s="2">
        <v>2019</v>
      </c>
      <c r="C37" s="6">
        <v>260570122000</v>
      </c>
      <c r="D37" s="6">
        <v>230230643000</v>
      </c>
      <c r="E37" s="7">
        <f t="shared" si="0"/>
        <v>490800765000</v>
      </c>
      <c r="F37" s="9">
        <v>474517470742.74933</v>
      </c>
      <c r="G37" s="9">
        <v>104004479</v>
      </c>
      <c r="I37">
        <v>306.92095149522299</v>
      </c>
    </row>
    <row r="38" spans="2:9" x14ac:dyDescent="0.3">
      <c r="B38" s="2">
        <v>2020</v>
      </c>
      <c r="C38" s="6">
        <v>287953437000</v>
      </c>
      <c r="D38" s="6">
        <v>220486097000</v>
      </c>
      <c r="E38" s="7">
        <f t="shared" si="0"/>
        <v>508439534000</v>
      </c>
      <c r="F38" s="9">
        <v>432198936002.17651</v>
      </c>
      <c r="G38" s="9">
        <v>108242753</v>
      </c>
      <c r="I38">
        <v>358.81079725829699</v>
      </c>
    </row>
  </sheetData>
  <pageMargins left="0.7" right="0.7" top="0.75" bottom="0.75" header="0.3" footer="0.3"/>
  <pageSetup orientation="portrait" horizontalDpi="1200" verticalDpi="1200" r:id="rId1"/>
  <headerFooter>
    <oddFooter>&amp;L&amp;1#&amp;"Calibri"&amp;10&amp;K000000Classified as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68329-F72D-4259-9002-E62A0C95F5A2}">
  <dimension ref="B3:F38"/>
  <sheetViews>
    <sheetView tabSelected="1" workbookViewId="0">
      <selection activeCell="H27" sqref="H27"/>
    </sheetView>
  </sheetViews>
  <sheetFormatPr defaultRowHeight="14.4" x14ac:dyDescent="0.3"/>
  <cols>
    <col min="2" max="2" width="11.44140625" style="1" customWidth="1"/>
    <col min="3" max="3" width="29.33203125" style="3" customWidth="1"/>
    <col min="4" max="4" width="24.77734375" style="3" customWidth="1"/>
    <col min="5" max="6" width="18.5546875" style="9" customWidth="1"/>
  </cols>
  <sheetData>
    <row r="3" spans="2:6" s="1" customFormat="1" x14ac:dyDescent="0.3">
      <c r="B3" s="11" t="s">
        <v>0</v>
      </c>
      <c r="C3" s="12" t="s">
        <v>7</v>
      </c>
      <c r="D3" s="12" t="s">
        <v>8</v>
      </c>
      <c r="E3" s="13" t="s">
        <v>9</v>
      </c>
      <c r="F3" s="13" t="s">
        <v>5</v>
      </c>
    </row>
    <row r="4" spans="2:6" s="1" customFormat="1" x14ac:dyDescent="0.3">
      <c r="B4" s="16">
        <v>1986</v>
      </c>
      <c r="C4" s="14">
        <v>128908198.11123797</v>
      </c>
      <c r="D4" s="14">
        <v>77038943.739170671</v>
      </c>
      <c r="E4" s="15">
        <v>54805852580.912857</v>
      </c>
      <c r="F4" s="15">
        <v>22664317</v>
      </c>
    </row>
    <row r="5" spans="2:6" s="1" customFormat="1" x14ac:dyDescent="0.3">
      <c r="B5" s="16">
        <v>1987</v>
      </c>
      <c r="C5" s="14">
        <v>90953718.972542569</v>
      </c>
      <c r="D5" s="14">
        <v>44718331.679179035</v>
      </c>
      <c r="E5" s="15">
        <v>52676041931.108727</v>
      </c>
      <c r="F5" s="15">
        <v>23955943</v>
      </c>
    </row>
    <row r="6" spans="2:6" s="1" customFormat="1" x14ac:dyDescent="0.3">
      <c r="B6" s="16">
        <v>1988</v>
      </c>
      <c r="C6" s="14">
        <v>94062869.611855134</v>
      </c>
      <c r="D6" s="14">
        <v>36218230.609291054</v>
      </c>
      <c r="E6" s="15">
        <v>49648470440.459335</v>
      </c>
      <c r="F6" s="15">
        <v>25315578</v>
      </c>
    </row>
    <row r="7" spans="2:6" s="1" customFormat="1" x14ac:dyDescent="0.3">
      <c r="B7" s="16">
        <v>1989</v>
      </c>
      <c r="C7" s="14">
        <v>84226144.728900641</v>
      </c>
      <c r="D7" s="14">
        <v>37544567.862930574</v>
      </c>
      <c r="E7" s="15">
        <v>44003061108.400505</v>
      </c>
      <c r="F7" s="15">
        <v>26749243</v>
      </c>
    </row>
    <row r="8" spans="2:6" s="1" customFormat="1" x14ac:dyDescent="0.3">
      <c r="B8" s="16">
        <v>1990</v>
      </c>
      <c r="C8" s="14">
        <v>101012490.47526929</v>
      </c>
      <c r="D8" s="14">
        <v>35026556.037761785</v>
      </c>
      <c r="E8" s="15">
        <v>54035795387.808609</v>
      </c>
      <c r="F8" s="15">
        <v>28259591</v>
      </c>
    </row>
    <row r="9" spans="2:6" x14ac:dyDescent="0.3">
      <c r="B9" s="16">
        <v>1991</v>
      </c>
      <c r="C9" s="14">
        <v>100233268.81045863</v>
      </c>
      <c r="D9" s="14">
        <v>37227052.649017476</v>
      </c>
      <c r="E9" s="15">
        <v>49118434950.41877</v>
      </c>
      <c r="F9" s="15">
        <v>29477534</v>
      </c>
    </row>
    <row r="10" spans="2:6" x14ac:dyDescent="0.3">
      <c r="B10" s="16">
        <v>1992</v>
      </c>
      <c r="C10" s="14">
        <v>95843907.003094196</v>
      </c>
      <c r="D10" s="14">
        <v>38547521.407295749</v>
      </c>
      <c r="E10" s="15">
        <v>47794954191.500999</v>
      </c>
      <c r="F10" s="15">
        <v>30732846</v>
      </c>
    </row>
    <row r="11" spans="2:6" x14ac:dyDescent="0.3">
      <c r="B11" s="16">
        <v>1993</v>
      </c>
      <c r="C11" s="14">
        <v>125089625.06911273</v>
      </c>
      <c r="D11" s="14">
        <v>38833880.328478068</v>
      </c>
      <c r="E11" s="15">
        <v>27752204787.489037</v>
      </c>
      <c r="F11" s="15">
        <v>32047445</v>
      </c>
    </row>
    <row r="12" spans="2:6" x14ac:dyDescent="0.3">
      <c r="B12" s="16">
        <v>1994</v>
      </c>
      <c r="C12" s="14">
        <v>173111545.96290237</v>
      </c>
      <c r="D12" s="14">
        <v>47150418.030551009</v>
      </c>
      <c r="E12" s="15">
        <v>33833043777.737209</v>
      </c>
      <c r="F12" s="15">
        <v>33420099</v>
      </c>
    </row>
    <row r="13" spans="2:6" x14ac:dyDescent="0.3">
      <c r="B13" s="16">
        <v>1995</v>
      </c>
      <c r="C13" s="14">
        <v>251792403.134469</v>
      </c>
      <c r="D13" s="14">
        <v>52232978.875563323</v>
      </c>
      <c r="E13" s="15">
        <v>44062465417.942062</v>
      </c>
      <c r="F13" s="15">
        <v>34841820</v>
      </c>
    </row>
    <row r="14" spans="2:6" x14ac:dyDescent="0.3">
      <c r="B14" s="16">
        <v>1996</v>
      </c>
      <c r="C14" s="14">
        <v>353711027.08889997</v>
      </c>
      <c r="D14" s="14">
        <v>87356437.649150029</v>
      </c>
      <c r="E14" s="15">
        <v>51075815092.5</v>
      </c>
      <c r="F14" s="15">
        <v>36310411</v>
      </c>
    </row>
    <row r="15" spans="2:6" x14ac:dyDescent="0.3">
      <c r="B15" s="16">
        <v>1997</v>
      </c>
      <c r="C15" s="14">
        <v>432127064.4542985</v>
      </c>
      <c r="D15" s="14">
        <v>105136525.86921807</v>
      </c>
      <c r="E15" s="15">
        <v>54457835603.135658</v>
      </c>
      <c r="F15" s="15">
        <v>37832154</v>
      </c>
    </row>
    <row r="16" spans="2:6" x14ac:dyDescent="0.3">
      <c r="B16" s="16">
        <v>1998</v>
      </c>
      <c r="C16" s="14">
        <v>376682540.84803075</v>
      </c>
      <c r="D16" s="14">
        <v>121589657.5436352</v>
      </c>
      <c r="E16" s="15">
        <v>54604050168.181816</v>
      </c>
      <c r="F16" s="15">
        <v>39409892</v>
      </c>
    </row>
    <row r="17" spans="2:6" x14ac:dyDescent="0.3">
      <c r="B17" s="16">
        <v>1999</v>
      </c>
      <c r="C17" s="14">
        <v>105718853.20360719</v>
      </c>
      <c r="D17" s="14">
        <v>52027563.898325831</v>
      </c>
      <c r="E17" s="15">
        <v>59372679433.174583</v>
      </c>
      <c r="F17" s="15">
        <v>41060367</v>
      </c>
    </row>
    <row r="18" spans="2:6" x14ac:dyDescent="0.3">
      <c r="B18" s="16">
        <v>2000</v>
      </c>
      <c r="C18" s="14">
        <v>125954046.63183604</v>
      </c>
      <c r="D18" s="14">
        <v>40371019.990691461</v>
      </c>
      <c r="E18" s="15">
        <v>69448962760.878677</v>
      </c>
      <c r="F18" s="15">
        <v>42801631</v>
      </c>
    </row>
    <row r="19" spans="2:6" x14ac:dyDescent="0.3">
      <c r="B19" s="16">
        <v>2001</v>
      </c>
      <c r="C19" s="14">
        <v>158667557.86705625</v>
      </c>
      <c r="D19" s="14">
        <v>50568210.884980612</v>
      </c>
      <c r="E19" s="15">
        <v>74030562269.965515</v>
      </c>
      <c r="F19" s="15">
        <v>44997399</v>
      </c>
    </row>
    <row r="20" spans="2:6" x14ac:dyDescent="0.3">
      <c r="B20" s="16">
        <v>2002</v>
      </c>
      <c r="C20" s="14">
        <v>295091893.02457362</v>
      </c>
      <c r="D20" s="14">
        <v>68604489.522321776</v>
      </c>
      <c r="E20" s="15">
        <v>95054094655.327728</v>
      </c>
      <c r="F20" s="15">
        <v>47308171</v>
      </c>
    </row>
    <row r="21" spans="2:6" x14ac:dyDescent="0.3">
      <c r="B21" s="16">
        <v>2003</v>
      </c>
      <c r="C21" s="14">
        <v>349555320.73205602</v>
      </c>
      <c r="D21" s="14">
        <v>78364044.609930083</v>
      </c>
      <c r="E21" s="15">
        <v>104738980156.95811</v>
      </c>
      <c r="F21" s="15">
        <v>49728233</v>
      </c>
    </row>
    <row r="22" spans="2:6" x14ac:dyDescent="0.3">
      <c r="B22" s="16">
        <v>2004</v>
      </c>
      <c r="C22" s="14">
        <v>425024248.79894179</v>
      </c>
      <c r="D22" s="14">
        <v>91759863.238241374</v>
      </c>
      <c r="E22" s="15">
        <v>135764715375.2057</v>
      </c>
      <c r="F22" s="15">
        <v>52257527</v>
      </c>
    </row>
    <row r="23" spans="2:6" x14ac:dyDescent="0.3">
      <c r="B23" s="16">
        <v>2005</v>
      </c>
      <c r="C23" s="14">
        <v>476189392.18887794</v>
      </c>
      <c r="D23" s="14">
        <v>98587741.193379</v>
      </c>
      <c r="E23" s="15">
        <v>175670536601.00577</v>
      </c>
      <c r="F23" s="15">
        <v>54895345</v>
      </c>
    </row>
    <row r="24" spans="2:6" x14ac:dyDescent="0.3">
      <c r="B24" s="16">
        <v>2006</v>
      </c>
      <c r="C24" s="14">
        <v>521920218.67834193</v>
      </c>
      <c r="D24" s="14">
        <v>99047811.273334712</v>
      </c>
      <c r="E24" s="15">
        <v>238454952231.57196</v>
      </c>
      <c r="F24" s="15">
        <v>57649638</v>
      </c>
    </row>
    <row r="25" spans="2:6" x14ac:dyDescent="0.3">
      <c r="B25" s="16">
        <v>2007</v>
      </c>
      <c r="C25" s="14">
        <v>667080032.53367591</v>
      </c>
      <c r="D25" s="14">
        <v>125453877.40973009</v>
      </c>
      <c r="E25" s="15">
        <v>278260808841.03009</v>
      </c>
      <c r="F25" s="15">
        <v>60532139</v>
      </c>
    </row>
    <row r="26" spans="2:6" x14ac:dyDescent="0.3">
      <c r="B26" s="16">
        <v>2008</v>
      </c>
      <c r="C26" s="14">
        <v>1019948408.7714337</v>
      </c>
      <c r="D26" s="14">
        <v>247351847.0621303</v>
      </c>
      <c r="E26" s="15">
        <v>339476215683.59222</v>
      </c>
      <c r="F26" s="15">
        <v>63546553</v>
      </c>
    </row>
    <row r="27" spans="2:6" x14ac:dyDescent="0.3">
      <c r="B27" s="16">
        <v>2009</v>
      </c>
      <c r="C27" s="14">
        <v>971661062.60075235</v>
      </c>
      <c r="D27" s="14">
        <v>230332825.09403548</v>
      </c>
      <c r="E27" s="15">
        <v>295008767295.03827</v>
      </c>
      <c r="F27" s="15">
        <v>66691001</v>
      </c>
    </row>
    <row r="28" spans="2:6" x14ac:dyDescent="0.3">
      <c r="B28" s="16">
        <v>2010</v>
      </c>
      <c r="C28" s="14">
        <v>971201071.2087692</v>
      </c>
      <c r="D28" s="14">
        <v>264547906.65180722</v>
      </c>
      <c r="E28" s="15">
        <v>366990528103.07831</v>
      </c>
      <c r="F28" s="15">
        <v>69982300</v>
      </c>
    </row>
    <row r="29" spans="2:6" x14ac:dyDescent="0.3">
      <c r="B29" s="16">
        <v>2011</v>
      </c>
      <c r="C29" s="14">
        <v>1060647376.7162238</v>
      </c>
      <c r="D29" s="14">
        <v>354564309.04216427</v>
      </c>
      <c r="E29" s="15">
        <v>414466540786.7381</v>
      </c>
      <c r="F29" s="15">
        <v>73409645</v>
      </c>
    </row>
    <row r="30" spans="2:6" x14ac:dyDescent="0.3">
      <c r="B30" s="16">
        <v>2012</v>
      </c>
      <c r="C30" s="14">
        <v>1156653168.2539682</v>
      </c>
      <c r="D30" s="14">
        <v>444223511.1111111</v>
      </c>
      <c r="E30" s="15">
        <v>463971000388.61194</v>
      </c>
      <c r="F30" s="15">
        <v>76952556</v>
      </c>
    </row>
    <row r="31" spans="2:6" x14ac:dyDescent="0.3">
      <c r="B31" s="16">
        <v>2013</v>
      </c>
      <c r="C31" s="14">
        <v>1191388833.2079604</v>
      </c>
      <c r="D31" s="14">
        <v>511188672.1688357</v>
      </c>
      <c r="E31" s="15">
        <v>520117163617.72113</v>
      </c>
      <c r="F31" s="15">
        <v>80580193</v>
      </c>
    </row>
    <row r="32" spans="2:6" x14ac:dyDescent="0.3">
      <c r="B32" s="16">
        <v>2014</v>
      </c>
      <c r="C32" s="14">
        <v>1166601609.7597845</v>
      </c>
      <c r="D32" s="14">
        <v>684795856.18172836</v>
      </c>
      <c r="E32" s="15">
        <v>574183825592.35791</v>
      </c>
      <c r="F32" s="15">
        <v>84275849</v>
      </c>
    </row>
    <row r="33" spans="2:6" x14ac:dyDescent="0.3">
      <c r="B33" s="16">
        <v>2015</v>
      </c>
      <c r="C33" s="14">
        <v>927493098.29367185</v>
      </c>
      <c r="D33" s="14">
        <v>696672987.81787026</v>
      </c>
      <c r="E33" s="15">
        <v>493026782401.56067</v>
      </c>
      <c r="F33" s="15">
        <v>88019904</v>
      </c>
    </row>
    <row r="34" spans="2:6" x14ac:dyDescent="0.3">
      <c r="B34" s="16">
        <v>2016</v>
      </c>
      <c r="C34" s="14">
        <v>746688743.62899029</v>
      </c>
      <c r="D34" s="14">
        <v>499803997.75929815</v>
      </c>
      <c r="E34" s="15">
        <v>404649048648.026</v>
      </c>
      <c r="F34" s="15">
        <v>91848722</v>
      </c>
    </row>
    <row r="35" spans="2:6" x14ac:dyDescent="0.3">
      <c r="B35" s="16">
        <v>2017</v>
      </c>
      <c r="C35" s="14">
        <v>664986809.28099871</v>
      </c>
      <c r="D35" s="14">
        <v>528830070.54811102</v>
      </c>
      <c r="E35" s="15">
        <v>375745732274.67621</v>
      </c>
      <c r="F35" s="15">
        <v>95817238</v>
      </c>
    </row>
    <row r="36" spans="2:6" x14ac:dyDescent="0.3">
      <c r="B36" s="16">
        <v>2018</v>
      </c>
      <c r="C36" s="14">
        <v>767815110.78664744</v>
      </c>
      <c r="D36" s="14">
        <v>582431906.19543207</v>
      </c>
      <c r="E36" s="15">
        <v>421739210176.15198</v>
      </c>
      <c r="F36" s="15">
        <v>99876265</v>
      </c>
    </row>
    <row r="37" spans="2:6" x14ac:dyDescent="0.3">
      <c r="B37" s="16">
        <v>2019</v>
      </c>
      <c r="C37" s="14">
        <v>848981213.99201906</v>
      </c>
      <c r="D37" s="14">
        <v>750130096.62060618</v>
      </c>
      <c r="E37" s="15">
        <v>474517470742.74933</v>
      </c>
      <c r="F37" s="15">
        <v>104004479</v>
      </c>
    </row>
    <row r="38" spans="2:6" x14ac:dyDescent="0.3">
      <c r="B38" s="16">
        <v>2020</v>
      </c>
      <c r="C38" s="14">
        <v>802521660.99871039</v>
      </c>
      <c r="D38" s="14">
        <v>614491254.68005013</v>
      </c>
      <c r="E38" s="15">
        <v>432198936002.17651</v>
      </c>
      <c r="F38" s="15">
        <v>108242753</v>
      </c>
    </row>
  </sheetData>
  <pageMargins left="0.7" right="0.7" top="0.75" bottom="0.75" header="0.3" footer="0.3"/>
  <pageSetup orientation="portrait" horizontalDpi="1200" verticalDpi="1200" r:id="rId1"/>
  <headerFooter>
    <oddFooter>&amp;L&amp;1#&amp;"Calibri"&amp;10&amp;K000000Classified as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ADC81-144E-4712-AB56-8965131A7C96}">
  <dimension ref="A1"/>
  <sheetViews>
    <sheetView workbookViewId="0"/>
  </sheetViews>
  <sheetFormatPr defaultRowHeight="14.4" x14ac:dyDescent="0.3"/>
  <sheetData/>
  <pageMargins left="0.7" right="0.7" top="0.75" bottom="0.75" header="0.3" footer="0.3"/>
  <pageSetup orientation="portrait" verticalDpi="0" r:id="rId1"/>
  <headerFooter>
    <oddFooter>&amp;L&amp;1#&amp;"Calibri"&amp;10&amp;K000000Classified as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Data</vt:lpstr>
      <vt:lpstr>Worked 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Ogunbiyi, Olufunmilayo O</dc:creator>
  <cp:lastModifiedBy>Ogunbiyi, Olufunmilayo O</cp:lastModifiedBy>
  <dcterms:created xsi:type="dcterms:W3CDTF">2023-07-04T09:06:41Z</dcterms:created>
  <dcterms:modified xsi:type="dcterms:W3CDTF">2023-07-22T20:05:36Z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6b9d4ea-d348-4e93-a29a-8def053c0154_Enabled">
    <vt:lpwstr>true</vt:lpwstr>
  </property>
  <property fmtid="{D5CDD505-2E9C-101B-9397-08002B2CF9AE}" pid="3" name="MSIP_Label_d6b9d4ea-d348-4e93-a29a-8def053c0154_SetDate">
    <vt:lpwstr>2023-07-22T20:05:36Z</vt:lpwstr>
  </property>
  <property fmtid="{D5CDD505-2E9C-101B-9397-08002B2CF9AE}" pid="4" name="MSIP_Label_d6b9d4ea-d348-4e93-a29a-8def053c0154_Method">
    <vt:lpwstr>Standard</vt:lpwstr>
  </property>
  <property fmtid="{D5CDD505-2E9C-101B-9397-08002B2CF9AE}" pid="5" name="MSIP_Label_d6b9d4ea-d348-4e93-a29a-8def053c0154_Name">
    <vt:lpwstr>d6b9d4ea-d348-4e93-a29a-8def053c0154</vt:lpwstr>
  </property>
  <property fmtid="{D5CDD505-2E9C-101B-9397-08002B2CF9AE}" pid="6" name="MSIP_Label_d6b9d4ea-d348-4e93-a29a-8def053c0154_SiteId">
    <vt:lpwstr>7369e6ec-faa6-42fa-bc0e-4f332da5b1db</vt:lpwstr>
  </property>
  <property fmtid="{D5CDD505-2E9C-101B-9397-08002B2CF9AE}" pid="7" name="MSIP_Label_d6b9d4ea-d348-4e93-a29a-8def053c0154_ActionId">
    <vt:lpwstr>9f42ed57-4bd1-4ced-a113-bfa8fc8f30b9</vt:lpwstr>
  </property>
  <property fmtid="{D5CDD505-2E9C-101B-9397-08002B2CF9AE}" pid="8" name="MSIP_Label_d6b9d4ea-d348-4e93-a29a-8def053c0154_ContentBits">
    <vt:lpwstr>2</vt:lpwstr>
  </property>
</Properties>
</file>